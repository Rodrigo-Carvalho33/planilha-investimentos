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o2\OneDrive\Desktop\"/>
    </mc:Choice>
  </mc:AlternateContent>
  <xr:revisionPtr revIDLastSave="0" documentId="13_ncr:1_{BFE015D2-DAF3-40CF-9B8A-48814C0CCA6C}" xr6:coauthVersionLast="47" xr6:coauthVersionMax="47" xr10:uidLastSave="{00000000-0000-0000-0000-000000000000}"/>
  <bookViews>
    <workbookView xWindow="-108" yWindow="-108" windowWidth="23256" windowHeight="12456" tabRatio="345" xr2:uid="{D63472A4-8300-4934-9C87-0EC792DCF89D}"/>
  </bookViews>
  <sheets>
    <sheet name="APP" sheetId="1" r:id="rId1"/>
    <sheet name="Planilha2" sheetId="2" r:id="rId2"/>
  </sheets>
  <definedNames>
    <definedName name="_xlnm._FilterDatabase" localSheetId="0" hidden="1">APP!$B$35:$D$42</definedName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14" i="1"/>
  <c r="C38" i="1"/>
  <c r="C37" i="1"/>
  <c r="C41" i="1"/>
  <c r="C42" i="1"/>
  <c r="C39" i="1"/>
  <c r="C40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8" i="1" l="1"/>
  <c r="D40" i="1"/>
  <c r="D42" i="1"/>
  <c r="D41" i="1"/>
  <c r="D39" i="1"/>
  <c r="D37" i="1"/>
  <c r="D36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<sst xmlns="http://schemas.openxmlformats.org/spreadsheetml/2006/main" count="71" uniqueCount="34">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</sst>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3" borderId="5" xfId="0" applyFont="1" applyFill="1" applyBorder="1" applyAlignment="1">
      <alignment horizontal="left" indent="3"/>
    </xf>
    <xf numFmtId="164" fontId="10" fillId="3" borderId="6" xfId="0" applyNumberFormat="1" applyFont="1" applyFill="1" applyBorder="1" applyAlignment="1">
      <alignment horizontal="center"/>
    </xf>
    <xf numFmtId="164" fontId="10" fillId="3" borderId="7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164" fontId="10" fillId="3" borderId="9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 indent="3"/>
    </xf>
    <xf numFmtId="164" fontId="10" fillId="3" borderId="12" xfId="0" applyNumberFormat="1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8" fontId="11" fillId="3" borderId="19" xfId="0" applyNumberFormat="1" applyFont="1" applyFill="1" applyBorder="1" applyAlignment="1">
      <alignment horizontal="center"/>
    </xf>
    <xf numFmtId="8" fontId="11" fillId="3" borderId="22" xfId="0" applyNumberFormat="1" applyFont="1" applyFill="1" applyBorder="1" applyAlignment="1">
      <alignment horizontal="center"/>
    </xf>
    <xf numFmtId="164" fontId="10" fillId="4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9" fillId="4" borderId="14" xfId="0" applyFont="1" applyFill="1" applyBorder="1" applyAlignment="1">
      <alignment horizontal="left" indent="3"/>
    </xf>
    <xf numFmtId="0" fontId="9" fillId="4" borderId="15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0" fontId="12" fillId="3" borderId="21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0" fontId="12" fillId="3" borderId="18" xfId="0" applyFont="1" applyFill="1" applyBorder="1" applyAlignment="1">
      <alignment horizontal="left" indent="3"/>
    </xf>
    <xf numFmtId="0" fontId="7" fillId="8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right" vertical="center"/>
    </xf>
    <xf numFmtId="0" fontId="6" fillId="9" borderId="3" xfId="0" applyFont="1" applyFill="1" applyBorder="1" applyAlignment="1">
      <alignment horizontal="right"/>
    </xf>
    <xf numFmtId="0" fontId="5" fillId="9" borderId="2" xfId="0" applyFont="1" applyFill="1" applyBorder="1" applyAlignment="1">
      <alignment horizontal="right" vertical="center"/>
    </xf>
    <xf numFmtId="164" fontId="10" fillId="0" borderId="16" xfId="1" applyNumberFormat="1" applyFont="1" applyFill="1" applyBorder="1" applyAlignment="1">
      <alignment horizontal="center"/>
    </xf>
    <xf numFmtId="10" fontId="10" fillId="0" borderId="19" xfId="0" applyNumberFormat="1" applyFont="1" applyFill="1" applyBorder="1" applyAlignment="1">
      <alignment horizontal="center"/>
    </xf>
    <xf numFmtId="164" fontId="11" fillId="0" borderId="16" xfId="0" applyNumberFormat="1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/>
    </xf>
    <xf numFmtId="10" fontId="11" fillId="0" borderId="19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explosion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78-4884-86FF-0DD8457F38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78-4884-86FF-0DD8457F38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78-4884-86FF-0DD8457F38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78-4884-86FF-0DD8457F388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78-4884-86FF-0DD8457F388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78-4884-86FF-0DD8457F38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1">
                  <c:v>TIJOLO</c:v>
                </c:pt>
                <c:pt idx="2">
                  <c:v>PAPEL</c:v>
                </c:pt>
                <c:pt idx="3">
                  <c:v>DESENVOLVIMENTO</c:v>
                </c:pt>
                <c:pt idx="4">
                  <c:v>HOTELARIAS</c:v>
                </c:pt>
                <c:pt idx="5">
                  <c:v>HÍBRIDOS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1">
                  <c:v>0.35</c:v>
                </c:pt>
                <c:pt idx="2">
                  <c:v>0.32</c:v>
                </c:pt>
                <c:pt idx="3">
                  <c:v>0.1</c:v>
                </c:pt>
                <c:pt idx="4">
                  <c:v>0.1</c:v>
                </c:pt>
                <c:pt idx="5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7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11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Valores</a:t>
            </a:r>
          </a:p>
        </c:rich>
      </c:tx>
      <c:layout>
        <c:manualLayout>
          <c:xMode val="edge"/>
          <c:yMode val="edge"/>
          <c:x val="0.44562370692618775"/>
          <c:y val="5.1436219272197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654427414651683"/>
          <c:y val="0.21084173881667245"/>
          <c:w val="0.72699524260588599"/>
          <c:h val="0.77513020138181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APP!$D$35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accent1">
                <a:alpha val="64000"/>
              </a:schemeClr>
            </a:solidFill>
            <a:ln w="63500" cap="rnd">
              <a:solidFill>
                <a:schemeClr val="accent1">
                  <a:alpha val="13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APP!$B$36:$B$42</c15:sqref>
                  </c15:fullRef>
                </c:ext>
              </c:extLst>
              <c:f>APP!$B$37:$B$42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DESENVOLVIMENTO</c:v>
                </c:pt>
                <c:pt idx="3">
                  <c:v>HOTELARIAS</c:v>
                </c:pt>
                <c:pt idx="4">
                  <c:v>HÍBRIDOS</c:v>
                </c:pt>
                <c:pt idx="5">
                  <c:v>FOFs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APP!$D$36:$D$42</c15:sqref>
                  </c15:fullRef>
                </c:ext>
              </c:extLst>
              <c:f>APP!$D$37:$D$42</c:f>
              <c:numCache>
                <c:formatCode>"R$"\ #,##0.00</c:formatCode>
                <c:ptCount val="6"/>
                <c:pt idx="0">
                  <c:v>70</c:v>
                </c:pt>
                <c:pt idx="1">
                  <c:v>64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4-42B8-82AB-87438FAB11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3"/>
        <c:overlap val="50"/>
        <c:axId val="1059316191"/>
        <c:axId val="105931571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APP!$B$23</c15:sqref>
                        </c15:fullRef>
                        <c15:formulaRef>
                          <c15:sqref/>
                        </c15:formulaRef>
                      </c:ext>
                    </c:extLst>
                    <c:strCache>
                      <c:ptCount val="0"/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APP!$C$23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8B4-42B8-82AB-87438FAB1111}"/>
                  </c:ext>
                </c:extLst>
              </c15:ser>
            </c15:filteredBarSeries>
          </c:ext>
        </c:extLst>
      </c:barChart>
      <c:catAx>
        <c:axId val="10593161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9315711"/>
        <c:crosses val="autoZero"/>
        <c:auto val="1"/>
        <c:lblAlgn val="ctr"/>
        <c:lblOffset val="100"/>
        <c:noMultiLvlLbl val="0"/>
      </c:catAx>
      <c:valAx>
        <c:axId val="1059315711"/>
        <c:scaling>
          <c:orientation val="minMax"/>
        </c:scaling>
        <c:delete val="1"/>
        <c:axPos val="t"/>
        <c:numFmt formatCode="&quot;R$&quot;\ #,##0.00" sourceLinked="1"/>
        <c:majorTickMark val="none"/>
        <c:minorTickMark val="none"/>
        <c:tickLblPos val="nextTo"/>
        <c:crossAx val="105931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14000"/>
        </a:prstClr>
      </a:outerShdw>
    </a:effectLst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131990</xdr:colOff>
      <xdr:row>42</xdr:row>
      <xdr:rowOff>141514</xdr:rowOff>
    </xdr:from>
    <xdr:to>
      <xdr:col>3</xdr:col>
      <xdr:colOff>979714</xdr:colOff>
      <xdr:row>55</xdr:row>
      <xdr:rowOff>79375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293915</xdr:colOff>
      <xdr:row>1</xdr:row>
      <xdr:rowOff>97973</xdr:rowOff>
    </xdr:from>
    <xdr:to>
      <xdr:col>4</xdr:col>
      <xdr:colOff>54430</xdr:colOff>
      <xdr:row>8</xdr:row>
      <xdr:rowOff>47713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D52BF53-5444-0B09-2C83-F8B8C97BB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915" y="283030"/>
          <a:ext cx="5573486" cy="124514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</xdr:col>
      <xdr:colOff>130628</xdr:colOff>
      <xdr:row>57</xdr:row>
      <xdr:rowOff>27215</xdr:rowOff>
    </xdr:from>
    <xdr:to>
      <xdr:col>3</xdr:col>
      <xdr:colOff>1001484</xdr:colOff>
      <xdr:row>71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C76C0D8-B8C5-E9D9-6FBD-F416044EB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0.00401</cdr:y>
    </cdr:from>
    <cdr:to>
      <cdr:x>1</cdr:x>
      <cdr:y>0.13656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895427F5-CE77-4A39-B8F7-F04E92BE54A2}"/>
            </a:ext>
          </a:extLst>
        </cdr:cNvPr>
        <cdr:cNvSpPr/>
      </cdr:nvSpPr>
      <cdr:spPr>
        <a:xfrm xmlns:a="http://schemas.openxmlformats.org/drawingml/2006/main">
          <a:off x="0" y="10886"/>
          <a:ext cx="5279571" cy="36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6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 sz="1400" b="1" kern="1200">
              <a:solidFill>
                <a:schemeClr val="tx1"/>
              </a:solidFill>
            </a:rPr>
            <a:t>Valores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86"/>
  <sheetViews>
    <sheetView showGridLines="0" tabSelected="1" topLeftCell="A18" zoomScale="70" zoomScaleNormal="70" workbookViewId="0">
      <selection activeCell="G10" sqref="G10"/>
    </sheetView>
  </sheetViews>
  <sheetFormatPr defaultColWidth="0" defaultRowHeight="14.4" x14ac:dyDescent="0.3"/>
  <cols>
    <col min="1" max="1" width="5.44140625" customWidth="1"/>
    <col min="2" max="2" width="46.77734375" customWidth="1"/>
    <col min="3" max="3" width="17.44140625" bestFit="1" customWidth="1"/>
    <col min="4" max="4" width="15" customWidth="1"/>
    <col min="5" max="8" width="3.5546875" customWidth="1"/>
    <col min="9" max="16384" width="8.77734375" hidden="1"/>
  </cols>
  <sheetData>
    <row r="10" spans="2:4" ht="15" thickBot="1" x14ac:dyDescent="0.35"/>
    <row r="11" spans="2:4" ht="27" x14ac:dyDescent="0.4">
      <c r="B11" s="48" t="s">
        <v>15</v>
      </c>
      <c r="C11" s="49"/>
      <c r="D11" s="50"/>
    </row>
    <row r="12" spans="2:4" ht="19.2" x14ac:dyDescent="0.45">
      <c r="B12" s="34" t="s">
        <v>14</v>
      </c>
      <c r="C12" s="35"/>
      <c r="D12" s="51">
        <v>2000</v>
      </c>
    </row>
    <row r="13" spans="2:4" ht="19.2" x14ac:dyDescent="0.45">
      <c r="B13" s="36" t="s">
        <v>13</v>
      </c>
      <c r="C13" s="37"/>
      <c r="D13" s="52">
        <v>6.0000000000000001E-3</v>
      </c>
    </row>
    <row r="14" spans="2:4" ht="19.8" thickBot="1" x14ac:dyDescent="0.5">
      <c r="B14" s="40" t="s">
        <v>33</v>
      </c>
      <c r="C14" s="41"/>
      <c r="D14" s="16">
        <f>D12*30%</f>
        <v>600</v>
      </c>
    </row>
    <row r="15" spans="2:4" ht="15" thickBot="1" x14ac:dyDescent="0.35"/>
    <row r="16" spans="2:4" ht="28.5" customHeight="1" x14ac:dyDescent="0.3">
      <c r="B16" s="44" t="s">
        <v>5</v>
      </c>
      <c r="C16" s="45"/>
      <c r="D16" s="46"/>
    </row>
    <row r="17" spans="1:6" ht="19.2" x14ac:dyDescent="0.45">
      <c r="B17" s="34" t="s">
        <v>0</v>
      </c>
      <c r="C17" s="35"/>
      <c r="D17" s="53">
        <v>200</v>
      </c>
    </row>
    <row r="18" spans="1:6" ht="19.2" x14ac:dyDescent="0.45">
      <c r="B18" s="36" t="s">
        <v>1</v>
      </c>
      <c r="C18" s="37"/>
      <c r="D18" s="54">
        <v>5</v>
      </c>
    </row>
    <row r="19" spans="1:6" ht="19.2" x14ac:dyDescent="0.45">
      <c r="B19" s="36" t="s">
        <v>2</v>
      </c>
      <c r="C19" s="37"/>
      <c r="D19" s="55">
        <v>1.0789999999999999E-2</v>
      </c>
    </row>
    <row r="20" spans="1:6" ht="19.2" x14ac:dyDescent="0.45">
      <c r="B20" s="42" t="s">
        <v>3</v>
      </c>
      <c r="C20" s="43"/>
      <c r="D20" s="14">
        <f>FV(taxa_mensal,qtd_anos*12,aporte*-1)</f>
        <v>16755.382799697527</v>
      </c>
    </row>
    <row r="21" spans="1:6" ht="19.8" thickBot="1" x14ac:dyDescent="0.5">
      <c r="B21" s="38" t="s">
        <v>4</v>
      </c>
      <c r="C21" s="39"/>
      <c r="D21" s="15">
        <f>patrimonio*rendimento_carteira</f>
        <v>100.53229679818516</v>
      </c>
      <c r="F21" s="3"/>
    </row>
    <row r="22" spans="1:6" ht="15" thickBot="1" x14ac:dyDescent="0.35"/>
    <row r="23" spans="1:6" ht="29.4" x14ac:dyDescent="0.3">
      <c r="B23" s="44" t="s">
        <v>11</v>
      </c>
      <c r="C23" s="45"/>
      <c r="D23" s="47" t="s">
        <v>12</v>
      </c>
    </row>
    <row r="24" spans="1:6" ht="19.2" x14ac:dyDescent="0.45">
      <c r="A24" s="1">
        <v>2</v>
      </c>
      <c r="B24" s="5" t="s">
        <v>6</v>
      </c>
      <c r="C24" s="6">
        <f>FV($D$19,$A24*12,$D$17*-1)</f>
        <v>5445.5254595290435</v>
      </c>
      <c r="D24" s="7">
        <f>C24*rendimento_carteira</f>
        <v>32.673152757174265</v>
      </c>
    </row>
    <row r="25" spans="1:6" ht="19.2" x14ac:dyDescent="0.45">
      <c r="A25" s="1">
        <v>5</v>
      </c>
      <c r="B25" s="8" t="s">
        <v>7</v>
      </c>
      <c r="C25" s="9">
        <f>FV($D$19,$A25*12,$D$17*-1)</f>
        <v>16755.382799697527</v>
      </c>
      <c r="D25" s="10">
        <f>C25*rendimento_carteira</f>
        <v>100.53229679818516</v>
      </c>
    </row>
    <row r="26" spans="1:6" ht="19.2" x14ac:dyDescent="0.45">
      <c r="A26" s="1">
        <v>10</v>
      </c>
      <c r="B26" s="8" t="s">
        <v>8</v>
      </c>
      <c r="C26" s="9">
        <f>FV($D$19,$A26*12,$D$17*-1)</f>
        <v>48656.842506034438</v>
      </c>
      <c r="D26" s="10">
        <f>C26*rendimento_carteira</f>
        <v>291.94105503620665</v>
      </c>
    </row>
    <row r="27" spans="1:6" ht="19.2" x14ac:dyDescent="0.45">
      <c r="A27" s="1">
        <v>20</v>
      </c>
      <c r="B27" s="8" t="s">
        <v>9</v>
      </c>
      <c r="C27" s="9">
        <f>FV($D$19,$A27*12,$D$17*-1)</f>
        <v>225039.68001941612</v>
      </c>
      <c r="D27" s="10">
        <f>C27*rendimento_carteira</f>
        <v>1350.2380801164968</v>
      </c>
    </row>
    <row r="28" spans="1:6" ht="19.8" thickBot="1" x14ac:dyDescent="0.5">
      <c r="A28" s="1">
        <v>30</v>
      </c>
      <c r="B28" s="11" t="s">
        <v>10</v>
      </c>
      <c r="C28" s="12">
        <f>FV($D$19,$A28*12,$D$17*-1)</f>
        <v>864433.93100094295</v>
      </c>
      <c r="D28" s="13">
        <f>C28*rendimento_carteira</f>
        <v>5186.6035860056581</v>
      </c>
    </row>
    <row r="32" spans="1:6" x14ac:dyDescent="0.3">
      <c r="B32" s="17" t="s">
        <v>20</v>
      </c>
      <c r="C32" s="18" t="s">
        <v>17</v>
      </c>
      <c r="D32" s="17"/>
    </row>
    <row r="33" spans="2:4" x14ac:dyDescent="0.3">
      <c r="B33" s="19" t="s">
        <v>19</v>
      </c>
      <c r="C33" s="20">
        <f>aporte</f>
        <v>200</v>
      </c>
      <c r="D33" s="19"/>
    </row>
    <row r="35" spans="2:4" x14ac:dyDescent="0.3">
      <c r="B35" s="21" t="s">
        <v>21</v>
      </c>
      <c r="C35" s="21" t="s">
        <v>22</v>
      </c>
      <c r="D35" s="21" t="s">
        <v>23</v>
      </c>
    </row>
    <row r="36" spans="2:4" x14ac:dyDescent="0.3">
      <c r="B36" s="22"/>
      <c r="C36" s="22"/>
      <c r="D36" s="23">
        <f>SUM(D30:D35)</f>
        <v>0</v>
      </c>
    </row>
    <row r="37" spans="2:4" x14ac:dyDescent="0.3">
      <c r="B37" s="2" t="s">
        <v>25</v>
      </c>
      <c r="C37" s="4">
        <f>VLOOKUP($C$32&amp;"-"&amp;B37,Planilha2!$A:$D,4,FALSE)</f>
        <v>0.35</v>
      </c>
      <c r="D37" s="24">
        <f>C37*$C$33</f>
        <v>70</v>
      </c>
    </row>
    <row r="38" spans="2:4" x14ac:dyDescent="0.3">
      <c r="B38" s="2" t="s">
        <v>24</v>
      </c>
      <c r="C38" s="4">
        <f>VLOOKUP($C$32&amp;"-"&amp;B38,Planilha2!$A:$D,4,FALSE)</f>
        <v>0.32</v>
      </c>
      <c r="D38" s="24">
        <f>C38*$C$33</f>
        <v>64</v>
      </c>
    </row>
    <row r="39" spans="2:4" x14ac:dyDescent="0.3">
      <c r="B39" s="2" t="s">
        <v>28</v>
      </c>
      <c r="C39" s="4">
        <f>VLOOKUP($C$32&amp;"-"&amp;B39,Planilha2!$A:$D,4,FALSE)</f>
        <v>0.1</v>
      </c>
      <c r="D39" s="24">
        <f>C39*$C$33</f>
        <v>20</v>
      </c>
    </row>
    <row r="40" spans="2:4" x14ac:dyDescent="0.3">
      <c r="B40" s="2" t="s">
        <v>29</v>
      </c>
      <c r="C40" s="4">
        <f>VLOOKUP($C$32&amp;"-"&amp;B40,Planilha2!$A:$D,4,FALSE)</f>
        <v>0.1</v>
      </c>
      <c r="D40" s="24">
        <f>C40*$C$33</f>
        <v>20</v>
      </c>
    </row>
    <row r="41" spans="2:4" x14ac:dyDescent="0.3">
      <c r="B41" s="2" t="s">
        <v>26</v>
      </c>
      <c r="C41" s="4">
        <f>VLOOKUP($C$32&amp;"-"&amp;B41,Planilha2!$A:$D,4,FALSE)</f>
        <v>0.08</v>
      </c>
      <c r="D41" s="24">
        <f>C41*$C$33</f>
        <v>16</v>
      </c>
    </row>
    <row r="42" spans="2:4" x14ac:dyDescent="0.3">
      <c r="B42" s="2" t="s">
        <v>27</v>
      </c>
      <c r="C42" s="4">
        <f>VLOOKUP($C$32&amp;"-"&amp;B42,Planilha2!$A:$D,4,FALSE)</f>
        <v>0.05</v>
      </c>
      <c r="D42" s="24">
        <f>C42*$C$33</f>
        <v>10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</sheetData>
  <autoFilter ref="B35:D42" xr:uid="{E6A0B514-4758-45B7-9E7C-BEE6ADE55698}">
    <sortState xmlns:xlrd2="http://schemas.microsoft.com/office/spreadsheetml/2017/richdata2" ref="B36:D42">
      <sortCondition descending="1" ref="D35:D42"/>
    </sortState>
  </autoFilter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2" spans="1:8" x14ac:dyDescent="0.3">
      <c r="A2" s="32" t="s">
        <v>31</v>
      </c>
      <c r="B2" s="32" t="s">
        <v>20</v>
      </c>
      <c r="C2" s="33" t="s">
        <v>21</v>
      </c>
      <c r="D2" s="33" t="s">
        <v>30</v>
      </c>
    </row>
    <row r="3" spans="1:8" x14ac:dyDescent="0.3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3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17" t="s">
        <v>32</v>
      </c>
      <c r="H4" s="31">
        <f>VLOOKUP(G4,$A:$D,4,FALSE)</f>
        <v>0.35</v>
      </c>
    </row>
    <row r="5" spans="1:8" x14ac:dyDescent="0.3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3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3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" thickBot="1" x14ac:dyDescent="0.35">
      <c r="A8" s="25" t="str">
        <f t="shared" si="0"/>
        <v>Conservador-HOTELARIAS</v>
      </c>
      <c r="B8" s="25" t="s">
        <v>16</v>
      </c>
      <c r="C8" s="26" t="s">
        <v>29</v>
      </c>
      <c r="D8" s="27">
        <v>0</v>
      </c>
    </row>
    <row r="9" spans="1:8" x14ac:dyDescent="0.3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3">
      <c r="A10" s="28" t="str">
        <f t="shared" si="0"/>
        <v>Moderado-TIJOLO</v>
      </c>
      <c r="B10" s="28" t="s">
        <v>17</v>
      </c>
      <c r="C10" s="29" t="s">
        <v>25</v>
      </c>
      <c r="D10" s="30">
        <v>0.35</v>
      </c>
    </row>
    <row r="11" spans="1:8" x14ac:dyDescent="0.3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3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3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" thickBot="1" x14ac:dyDescent="0.35">
      <c r="A14" s="25" t="str">
        <f t="shared" si="0"/>
        <v>Moderado-HOTELARIAS</v>
      </c>
      <c r="B14" s="25" t="s">
        <v>17</v>
      </c>
      <c r="C14" s="26" t="s">
        <v>29</v>
      </c>
      <c r="D14" s="27">
        <v>0.1</v>
      </c>
    </row>
    <row r="15" spans="1:8" x14ac:dyDescent="0.3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3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3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3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3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3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3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Rodrigo Carvalho da Silva</cp:lastModifiedBy>
  <dcterms:created xsi:type="dcterms:W3CDTF">2025-04-16T18:38:03Z</dcterms:created>
  <dcterms:modified xsi:type="dcterms:W3CDTF">2026-02-11T17:54:25Z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